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<sst xmlns="http://schemas.openxmlformats.org/spreadsheetml/2006/main" count="18" uniqueCount="12">
  <si>
    <t xml:space="preserve">view</t>
  </si>
  <si>
    <t xml:space="preserve">bomb</t>
  </si>
  <si>
    <t xml:space="preserve">empty</t>
  </si>
  <si>
    <t xml:space="preserve">closed</t>
  </si>
  <si>
    <t xml:space="preserve">x</t>
  </si>
  <si>
    <t xml:space="preserve">end</t>
  </si>
  <si>
    <t xml:space="preserve">map</t>
  </si>
  <si>
    <t xml:space="preserve">container</t>
  </si>
  <si>
    <t xml:space="preserve">opened</t>
  </si>
  <si>
    <t xml:space="preserve">current</t>
  </si>
  <si>
    <t xml:space="preserve">y</t>
  </si>
  <si>
    <t xml:space="preserve">Cols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</si>
</sst>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rgb="FFC9211E"/>
      <name val="Arial"/>
      <family val="2"/>
      <charset val="204"/>
    </font>
    <font>
      <sz val="6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4000"/>
        <bgColor rgb="FFC9211E"/>
      </patternFill>
    </fill>
    <fill>
      <patternFill patternType="solid">
        <fgColor rgb="FF2A6099"/>
        <bgColor rgb="FF666699"/>
      </patternFill>
    </fill>
    <fill>
      <patternFill patternType="solid">
        <fgColor rgb="FF00A933"/>
        <bgColor rgb="FF0080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00A933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20</xdr:col>
      <xdr:colOff>75600</xdr:colOff>
      <xdr:row>3</xdr:row>
      <xdr:rowOff>176400</xdr:rowOff>
    </xdr:from>
    <xdr:to>
      <xdr:col>21</xdr:col>
      <xdr:colOff>48600</xdr:colOff>
      <xdr:row>4</xdr:row>
      <xdr:rowOff>182880</xdr:rowOff>
    </xdr:to>
    <xdr:sp>
      <xdr:nvSpPr>
        <xdr:cNvPr id="0" name="Line 1"/>
        <xdr:cNvSpPr/>
      </xdr:nvSpPr>
      <xdr:spPr>
        <a:xfrm flipH="1">
          <a:off x="3729240" y="725040"/>
          <a:ext cx="155880" cy="18936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21</xdr:col>
      <xdr:colOff>151560</xdr:colOff>
      <xdr:row>3</xdr:row>
      <xdr:rowOff>176400</xdr:rowOff>
    </xdr:from>
    <xdr:to>
      <xdr:col>22</xdr:col>
      <xdr:colOff>82080</xdr:colOff>
      <xdr:row>4</xdr:row>
      <xdr:rowOff>182880</xdr:rowOff>
    </xdr:to>
    <xdr:sp>
      <xdr:nvSpPr>
        <xdr:cNvPr id="1" name="Line 2"/>
        <xdr:cNvSpPr/>
      </xdr:nvSpPr>
      <xdr:spPr>
        <a:xfrm>
          <a:off x="3988080" y="725040"/>
          <a:ext cx="113400" cy="18936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73800</xdr:colOff>
      <xdr:row>5</xdr:row>
      <xdr:rowOff>176400</xdr:rowOff>
    </xdr:from>
    <xdr:to>
      <xdr:col>20</xdr:col>
      <xdr:colOff>79920</xdr:colOff>
      <xdr:row>6</xdr:row>
      <xdr:rowOff>176400</xdr:rowOff>
    </xdr:to>
    <xdr:sp>
      <xdr:nvSpPr>
        <xdr:cNvPr id="2" name="Line 3"/>
        <xdr:cNvSpPr/>
      </xdr:nvSpPr>
      <xdr:spPr>
        <a:xfrm flipH="1">
          <a:off x="3727440" y="1090800"/>
          <a:ext cx="6120" cy="18288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3:AA24"/>
  <sheetViews>
    <sheetView showFormulas="false" showGridLines="true" showRowColHeaders="true" showZeros="true" rightToLeft="false" tabSelected="true" showOutlineSymbols="true" defaultGridColor="true" view="normal" topLeftCell="A10" colorId="64" zoomScale="200" zoomScaleNormal="200" zoomScalePageLayoutView="100" workbookViewId="0">
      <selection pane="topLeft" activeCell="J14" activeCellId="0" sqref="J14"/>
    </sheetView>
  </sheetViews>
  <sheetFormatPr defaultColWidth="2.59765625" defaultRowHeight="14.4" zeroHeight="false" outlineLevelRow="0" outlineLevelCol="0"/>
  <sheetData>
    <row r="3" customFormat="false" ht="14.4" hidden="false" customHeight="false" outlineLevel="0" collapsed="false">
      <c r="D3" s="1" t="s">
        <v>0</v>
      </c>
      <c r="E3" s="1"/>
      <c r="F3" s="1"/>
      <c r="G3" s="1"/>
      <c r="H3" s="1"/>
      <c r="I3" s="1"/>
      <c r="J3" s="1"/>
    </row>
    <row r="4" customFormat="false" ht="14.4" hidden="false" customHeight="true" outlineLevel="0" collapsed="false">
      <c r="D4" s="2"/>
      <c r="E4" s="2"/>
      <c r="F4" s="2"/>
      <c r="G4" s="2"/>
      <c r="H4" s="2"/>
      <c r="I4" s="2"/>
      <c r="J4" s="2"/>
      <c r="M4" s="3" t="s">
        <v>0</v>
      </c>
      <c r="N4" s="4"/>
      <c r="P4" s="5" t="s">
        <v>1</v>
      </c>
      <c r="V4" s="6"/>
    </row>
    <row r="5" customFormat="false" ht="14.4" hidden="false" customHeight="true" outlineLevel="0" collapsed="false">
      <c r="D5" s="2"/>
      <c r="E5" s="2"/>
      <c r="F5" s="2"/>
      <c r="G5" s="2"/>
      <c r="H5" s="4"/>
      <c r="I5" s="2"/>
      <c r="J5" s="2"/>
      <c r="M5" s="3"/>
      <c r="N5" s="7"/>
      <c r="P5" s="5" t="s">
        <v>2</v>
      </c>
    </row>
    <row r="6" customFormat="false" ht="14.4" hidden="false" customHeight="true" outlineLevel="0" collapsed="false">
      <c r="D6" s="2"/>
      <c r="E6" s="2"/>
      <c r="F6" s="4"/>
      <c r="G6" s="2"/>
      <c r="H6" s="2"/>
      <c r="I6" s="2"/>
      <c r="J6" s="2"/>
      <c r="M6" s="3"/>
      <c r="N6" s="6"/>
      <c r="P6" s="5" t="s">
        <v>3</v>
      </c>
      <c r="U6" s="4"/>
      <c r="W6" s="7"/>
    </row>
    <row r="7" customFormat="false" ht="14.4" hidden="false" customHeight="true" outlineLevel="0" collapsed="false">
      <c r="D7" s="2"/>
      <c r="E7" s="2"/>
      <c r="F7" s="2"/>
      <c r="G7" s="2"/>
      <c r="H7" s="4"/>
      <c r="I7" s="2"/>
      <c r="J7" s="2"/>
      <c r="N7" s="8" t="s">
        <v>4</v>
      </c>
      <c r="P7" s="5" t="s">
        <v>5</v>
      </c>
    </row>
    <row r="8" customFormat="false" ht="14.4" hidden="false" customHeight="true" outlineLevel="0" collapsed="false">
      <c r="D8" s="2"/>
      <c r="E8" s="2"/>
      <c r="F8" s="2"/>
      <c r="G8" s="2"/>
      <c r="H8" s="2"/>
      <c r="I8" s="2"/>
      <c r="J8" s="2"/>
      <c r="U8" s="8" t="s">
        <v>4</v>
      </c>
    </row>
    <row r="9" customFormat="false" ht="14.4" hidden="false" customHeight="true" outlineLevel="0" collapsed="false">
      <c r="D9" s="2"/>
      <c r="E9" s="2"/>
      <c r="F9" s="2"/>
      <c r="G9" s="2"/>
      <c r="H9" s="2"/>
      <c r="I9" s="2"/>
      <c r="J9" s="2"/>
    </row>
    <row r="10" customFormat="false" ht="14.4" hidden="false" customHeight="true" outlineLevel="0" collapsed="false">
      <c r="D10" s="2"/>
      <c r="E10" s="2"/>
      <c r="F10" s="2"/>
      <c r="G10" s="2"/>
      <c r="H10" s="2"/>
      <c r="I10" s="2"/>
      <c r="J10" s="2"/>
    </row>
    <row r="12" customFormat="false" ht="14.4" hidden="false" customHeight="false" outlineLevel="0" collapsed="false">
      <c r="D12" s="9" t="n">
        <f aca="false">MOD(D13,$Q$24)</f>
        <v>0</v>
      </c>
      <c r="E12" s="9" t="n">
        <f aca="false">MOD(E13,$Q$24)</f>
        <v>1</v>
      </c>
      <c r="F12" s="9" t="n">
        <f aca="false">MOD(F13,$Q$24)</f>
        <v>2</v>
      </c>
      <c r="G12" s="9" t="n">
        <f aca="false">MOD(G13,$Q$24)</f>
        <v>3</v>
      </c>
      <c r="H12" s="9" t="n">
        <f aca="false">MOD(H13,$Q$24)</f>
        <v>4</v>
      </c>
      <c r="I12" s="9" t="n">
        <f aca="false">MOD(I13,$Q$24)</f>
        <v>5</v>
      </c>
      <c r="J12" s="9" t="n">
        <f aca="false">MOD(J13,$Q$24)</f>
        <v>6</v>
      </c>
      <c r="N12" s="1" t="s">
        <v>6</v>
      </c>
      <c r="O12" s="1"/>
      <c r="P12" s="1"/>
      <c r="Q12" s="1"/>
    </row>
    <row r="13" customFormat="false" ht="14.4" hidden="false" customHeight="false" outlineLevel="0" collapsed="false">
      <c r="C13" s="9" t="n">
        <f aca="false">ROUNDDOWN(D13 / $Q$24,0)</f>
        <v>0</v>
      </c>
      <c r="D13" s="10" t="n">
        <v>0</v>
      </c>
      <c r="E13" s="10" t="n">
        <v>1</v>
      </c>
      <c r="F13" s="10" t="n">
        <v>2</v>
      </c>
      <c r="G13" s="10" t="n">
        <v>3</v>
      </c>
      <c r="H13" s="10" t="n">
        <v>4</v>
      </c>
      <c r="I13" s="10" t="n">
        <v>5</v>
      </c>
      <c r="J13" s="10" t="n">
        <v>6</v>
      </c>
      <c r="N13" s="8" t="n">
        <v>1</v>
      </c>
      <c r="P13" s="5" t="s">
        <v>1</v>
      </c>
      <c r="U13" s="5"/>
      <c r="V13" s="5"/>
      <c r="W13" s="5"/>
      <c r="X13" s="5"/>
      <c r="Y13" s="5"/>
      <c r="Z13" s="5"/>
      <c r="AA13" s="5"/>
    </row>
    <row r="14" customFormat="false" ht="14.4" hidden="false" customHeight="false" outlineLevel="0" collapsed="false">
      <c r="C14" s="9" t="n">
        <f aca="false">ROUNDDOWN(D14 / $Q$24,0)</f>
        <v>1</v>
      </c>
      <c r="D14" s="10" t="n">
        <v>7</v>
      </c>
      <c r="E14" s="10" t="n">
        <v>8</v>
      </c>
      <c r="F14" s="10" t="n">
        <v>9</v>
      </c>
      <c r="G14" s="10" t="n">
        <v>10</v>
      </c>
      <c r="H14" s="10" t="n">
        <v>11</v>
      </c>
      <c r="I14" s="10" t="n">
        <v>12</v>
      </c>
      <c r="J14" s="10" t="n">
        <v>13</v>
      </c>
      <c r="N14" s="8" t="n">
        <v>0</v>
      </c>
      <c r="P14" s="5" t="s">
        <v>2</v>
      </c>
      <c r="U14" s="5"/>
      <c r="V14" s="5"/>
      <c r="W14" s="5"/>
      <c r="X14" s="5"/>
      <c r="Y14" s="5"/>
      <c r="Z14" s="5"/>
      <c r="AA14" s="5"/>
    </row>
    <row r="15" customFormat="false" ht="14.4" hidden="false" customHeight="false" outlineLevel="0" collapsed="false">
      <c r="C15" s="9" t="n">
        <f aca="false">ROUNDDOWN(D15 / $Q$24,0)</f>
        <v>2</v>
      </c>
      <c r="D15" s="10" t="n">
        <v>14</v>
      </c>
      <c r="E15" s="10" t="n">
        <v>15</v>
      </c>
      <c r="F15" s="10" t="n">
        <v>16</v>
      </c>
      <c r="G15" s="10" t="n">
        <v>17</v>
      </c>
      <c r="H15" s="10" t="n">
        <v>18</v>
      </c>
      <c r="I15" s="10" t="n">
        <v>19</v>
      </c>
      <c r="J15" s="10" t="n">
        <v>20</v>
      </c>
      <c r="N15" s="1" t="s">
        <v>7</v>
      </c>
      <c r="O15" s="1"/>
      <c r="P15" s="1"/>
      <c r="Q15" s="1"/>
      <c r="U15" s="5"/>
      <c r="V15" s="5"/>
      <c r="W15" s="5"/>
      <c r="X15" s="5"/>
      <c r="Y15" s="5"/>
      <c r="Z15" s="5"/>
      <c r="AA15" s="5"/>
    </row>
    <row r="16" customFormat="false" ht="14.4" hidden="false" customHeight="false" outlineLevel="0" collapsed="false">
      <c r="C16" s="9" t="n">
        <f aca="false">ROUNDDOWN(D16 / $Q$24,0)</f>
        <v>3</v>
      </c>
      <c r="D16" s="10" t="n">
        <v>21</v>
      </c>
      <c r="E16" s="10" t="n">
        <v>22</v>
      </c>
      <c r="F16" s="10" t="n">
        <v>23</v>
      </c>
      <c r="G16" s="10" t="n">
        <v>24</v>
      </c>
      <c r="H16" s="10" t="n">
        <v>25</v>
      </c>
      <c r="I16" s="10" t="n">
        <v>26</v>
      </c>
      <c r="J16" s="10" t="n">
        <v>27</v>
      </c>
      <c r="N16" s="11" t="n">
        <v>0</v>
      </c>
      <c r="P16" s="5" t="s">
        <v>8</v>
      </c>
      <c r="U16" s="5"/>
      <c r="V16" s="5"/>
      <c r="W16" s="5"/>
      <c r="X16" s="5"/>
      <c r="Y16" s="5"/>
      <c r="Z16" s="5"/>
      <c r="AA16" s="5"/>
    </row>
    <row r="17" customFormat="false" ht="14.4" hidden="false" customHeight="false" outlineLevel="0" collapsed="false">
      <c r="C17" s="9" t="n">
        <f aca="false">ROUNDDOWN(D17 / $Q$24,0)</f>
        <v>4</v>
      </c>
      <c r="D17" s="10" t="n">
        <v>28</v>
      </c>
      <c r="E17" s="10" t="n">
        <v>29</v>
      </c>
      <c r="F17" s="10" t="n">
        <v>30</v>
      </c>
      <c r="G17" s="10" t="n">
        <v>31</v>
      </c>
      <c r="H17" s="12" t="n">
        <v>32</v>
      </c>
      <c r="I17" s="10" t="n">
        <v>33</v>
      </c>
      <c r="J17" s="10" t="n">
        <v>34</v>
      </c>
      <c r="N17" s="11" t="n">
        <v>1</v>
      </c>
      <c r="P17" s="5" t="s">
        <v>3</v>
      </c>
      <c r="U17" s="5"/>
      <c r="V17" s="5"/>
      <c r="W17" s="5"/>
      <c r="X17" s="5"/>
      <c r="Y17" s="5"/>
      <c r="Z17" s="5"/>
      <c r="AA17" s="5"/>
    </row>
    <row r="18" customFormat="false" ht="14.4" hidden="false" customHeight="false" outlineLevel="0" collapsed="false">
      <c r="C18" s="9" t="n">
        <f aca="false">ROUNDDOWN(D18 / $Q$24,0)</f>
        <v>5</v>
      </c>
      <c r="D18" s="10" t="n">
        <v>35</v>
      </c>
      <c r="E18" s="10" t="n">
        <v>36</v>
      </c>
      <c r="F18" s="10" t="n">
        <v>37</v>
      </c>
      <c r="G18" s="10" t="n">
        <v>38</v>
      </c>
      <c r="H18" s="10" t="n">
        <v>39</v>
      </c>
      <c r="I18" s="10" t="n">
        <v>40</v>
      </c>
      <c r="J18" s="10" t="n">
        <v>41</v>
      </c>
      <c r="U18" s="5" t="s">
        <v>9</v>
      </c>
      <c r="V18" s="5"/>
      <c r="W18" s="5"/>
      <c r="X18" s="5" t="n">
        <v>4</v>
      </c>
      <c r="Y18" s="5"/>
      <c r="Z18" s="5"/>
      <c r="AA18" s="5"/>
    </row>
    <row r="19" customFormat="false" ht="14.4" hidden="false" customHeight="false" outlineLevel="0" collapsed="false">
      <c r="C19" s="9" t="n">
        <f aca="false">ROUNDDOWN(D19 / $Q$24,0)</f>
        <v>6</v>
      </c>
      <c r="D19" s="10" t="n">
        <v>42</v>
      </c>
      <c r="E19" s="10" t="n">
        <v>43</v>
      </c>
      <c r="F19" s="10" t="n">
        <v>44</v>
      </c>
      <c r="G19" s="10" t="n">
        <v>45</v>
      </c>
      <c r="H19" s="10" t="n">
        <v>46</v>
      </c>
      <c r="I19" s="10" t="n">
        <v>47</v>
      </c>
      <c r="J19" s="10" t="n">
        <v>48</v>
      </c>
      <c r="U19" s="5" t="s">
        <v>4</v>
      </c>
      <c r="V19" s="5" t="n">
        <f aca="false">ROUNDDOWN(X18 / Q24,0)</f>
        <v>0</v>
      </c>
      <c r="W19" s="5"/>
      <c r="X19" s="5"/>
      <c r="Y19" s="5"/>
      <c r="Z19" s="5"/>
      <c r="AA19" s="5"/>
    </row>
    <row r="20" customFormat="false" ht="14.4" hidden="false" customHeight="false" outlineLevel="0" collapsed="false">
      <c r="L20" s="0" t="n">
        <v>24</v>
      </c>
      <c r="M20" s="11" t="n">
        <v>25</v>
      </c>
      <c r="N20" s="0" t="n">
        <v>26</v>
      </c>
      <c r="P20" s="13" t="n">
        <f aca="false">Q21-Q24-1</f>
        <v>5</v>
      </c>
      <c r="Q20" s="11" t="n">
        <f aca="false">Q21-Q24</f>
        <v>6</v>
      </c>
      <c r="R20" s="13" t="n">
        <f aca="false">Q21-Q24+1</f>
        <v>7</v>
      </c>
      <c r="U20" s="13" t="s">
        <v>10</v>
      </c>
      <c r="V20" s="13" t="n">
        <f aca="false">MOD(X18, Q24)</f>
        <v>4</v>
      </c>
    </row>
    <row r="21" customFormat="false" ht="14.4" hidden="false" customHeight="false" outlineLevel="0" collapsed="false">
      <c r="L21" s="11" t="n">
        <v>31</v>
      </c>
      <c r="M21" s="14" t="n">
        <v>32</v>
      </c>
      <c r="N21" s="11" t="n">
        <v>33</v>
      </c>
      <c r="P21" s="11" t="n">
        <f aca="false">Q21-1</f>
        <v>12</v>
      </c>
      <c r="Q21" s="11" t="n">
        <v>13</v>
      </c>
      <c r="R21" s="11" t="n">
        <f aca="false">Q21+1</f>
        <v>14</v>
      </c>
    </row>
    <row r="22" customFormat="false" ht="14.4" hidden="false" customHeight="false" outlineLevel="0" collapsed="false">
      <c r="L22" s="0" t="n">
        <v>39</v>
      </c>
      <c r="M22" s="11" t="n">
        <v>39</v>
      </c>
      <c r="N22" s="0" t="n">
        <v>40</v>
      </c>
      <c r="P22" s="11" t="n">
        <f aca="false">Q21+Q24-1</f>
        <v>19</v>
      </c>
      <c r="Q22" s="11" t="n">
        <f aca="false">Q21+Q24</f>
        <v>20</v>
      </c>
      <c r="R22" s="13" t="n">
        <f aca="false">Q21+Q24+1</f>
        <v>21</v>
      </c>
    </row>
    <row r="24" customFormat="false" ht="14.4" hidden="false" customHeight="false" outlineLevel="0" collapsed="false">
      <c r="O24" s="11" t="s">
        <v>11</v>
      </c>
      <c r="Q24" s="11" t="n">
        <v>7</v>
      </c>
    </row>
  </sheetData>
  <mergeCells count="4">
    <mergeCell ref="D3:J3"/>
    <mergeCell ref="M4:M6"/>
    <mergeCell ref="N12:Q12"/>
    <mergeCell ref="N15:Q1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2024-06-05T19:22:32Z</dcterms:created>
  <dc:creator/>
  <dc:description/>
  <dc:language>en-US</dc:language>
  <cp:lastModifiedBy/>
  <dcterms:modified xsi:type="dcterms:W3CDTF">2024-06-10T12:18:59Z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